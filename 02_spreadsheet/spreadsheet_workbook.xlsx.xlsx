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ec536a18b0d62fa/Desktop/Assignment/02_spreadsheet/"/>
    </mc:Choice>
  </mc:AlternateContent>
  <xr:revisionPtr revIDLastSave="44" documentId="11_F25DC773A252ABDACC1048A82998750C5BDE58EF" xr6:coauthVersionLast="47" xr6:coauthVersionMax="47" xr10:uidLastSave="{45D20F0E-5067-4DE7-88CD-8ED2FC32EECC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  <c r="T11" i="1"/>
  <c r="T19" i="1"/>
  <c r="T27" i="1"/>
  <c r="J3" i="1"/>
  <c r="T3" i="1" s="1"/>
  <c r="J4" i="1"/>
  <c r="T4" i="1" s="1"/>
  <c r="J5" i="1"/>
  <c r="T5" i="1" s="1"/>
  <c r="J6" i="1"/>
  <c r="T6" i="1" s="1"/>
  <c r="J7" i="1"/>
  <c r="T7" i="1" s="1"/>
  <c r="J8" i="1"/>
  <c r="T8" i="1" s="1"/>
  <c r="J9" i="1"/>
  <c r="T9" i="1" s="1"/>
  <c r="J10" i="1"/>
  <c r="T10" i="1" s="1"/>
  <c r="J11" i="1"/>
  <c r="J12" i="1"/>
  <c r="T12" i="1" s="1"/>
  <c r="J13" i="1"/>
  <c r="T13" i="1" s="1"/>
  <c r="J14" i="1"/>
  <c r="T14" i="1" s="1"/>
  <c r="J15" i="1"/>
  <c r="T15" i="1" s="1"/>
  <c r="J16" i="1"/>
  <c r="T16" i="1" s="1"/>
  <c r="J17" i="1"/>
  <c r="T17" i="1" s="1"/>
  <c r="J18" i="1"/>
  <c r="T18" i="1" s="1"/>
  <c r="J19" i="1"/>
  <c r="J20" i="1"/>
  <c r="T20" i="1" s="1"/>
  <c r="J21" i="1"/>
  <c r="T21" i="1" s="1"/>
  <c r="J22" i="1"/>
  <c r="T22" i="1" s="1"/>
  <c r="J23" i="1"/>
  <c r="T23" i="1" s="1"/>
  <c r="J24" i="1"/>
  <c r="T24" i="1" s="1"/>
  <c r="J25" i="1"/>
  <c r="T25" i="1" s="1"/>
  <c r="J26" i="1"/>
  <c r="T26" i="1" s="1"/>
  <c r="J27" i="1"/>
  <c r="J28" i="1"/>
  <c r="T28" i="1" s="1"/>
  <c r="J29" i="1"/>
  <c r="T29" i="1" s="1"/>
  <c r="J30" i="1"/>
  <c r="T30" i="1" s="1"/>
  <c r="J31" i="1"/>
  <c r="T31" i="1" s="1"/>
  <c r="J2" i="1"/>
  <c r="T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2" i="1"/>
  <c r="H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O1" i="1"/>
  <c r="L1" i="1"/>
  <c r="J1" i="1"/>
  <c r="D3" i="1"/>
  <c r="O3" i="1" s="1"/>
  <c r="S3" i="1" s="1"/>
  <c r="D4" i="1"/>
  <c r="O4" i="1" s="1"/>
  <c r="S4" i="1" s="1"/>
  <c r="D5" i="1"/>
  <c r="O5" i="1" s="1"/>
  <c r="S5" i="1" s="1"/>
  <c r="D6" i="1"/>
  <c r="O6" i="1" s="1"/>
  <c r="S6" i="1" s="1"/>
  <c r="D7" i="1"/>
  <c r="O7" i="1" s="1"/>
  <c r="S7" i="1" s="1"/>
  <c r="D8" i="1"/>
  <c r="O8" i="1" s="1"/>
  <c r="S8" i="1" s="1"/>
  <c r="D9" i="1"/>
  <c r="O9" i="1" s="1"/>
  <c r="S9" i="1" s="1"/>
  <c r="D10" i="1"/>
  <c r="O10" i="1" s="1"/>
  <c r="S10" i="1" s="1"/>
  <c r="D11" i="1"/>
  <c r="O11" i="1" s="1"/>
  <c r="S11" i="1" s="1"/>
  <c r="D12" i="1"/>
  <c r="O12" i="1" s="1"/>
  <c r="S12" i="1" s="1"/>
  <c r="D13" i="1"/>
  <c r="O13" i="1" s="1"/>
  <c r="S13" i="1" s="1"/>
  <c r="D14" i="1"/>
  <c r="O14" i="1" s="1"/>
  <c r="S14" i="1" s="1"/>
  <c r="D15" i="1"/>
  <c r="O15" i="1" s="1"/>
  <c r="D16" i="1"/>
  <c r="O16" i="1" s="1"/>
  <c r="D17" i="1"/>
  <c r="O17" i="1" s="1"/>
  <c r="D18" i="1"/>
  <c r="O18" i="1" s="1"/>
  <c r="S18" i="1" s="1"/>
  <c r="D19" i="1"/>
  <c r="O19" i="1" s="1"/>
  <c r="S19" i="1" s="1"/>
  <c r="D20" i="1"/>
  <c r="O20" i="1" s="1"/>
  <c r="S20" i="1" s="1"/>
  <c r="D21" i="1"/>
  <c r="O21" i="1" s="1"/>
  <c r="S21" i="1" s="1"/>
  <c r="D22" i="1"/>
  <c r="O22" i="1" s="1"/>
  <c r="S22" i="1" s="1"/>
  <c r="D23" i="1"/>
  <c r="O23" i="1" s="1"/>
  <c r="S23" i="1" s="1"/>
  <c r="D24" i="1"/>
  <c r="O24" i="1" s="1"/>
  <c r="S24" i="1" s="1"/>
  <c r="D25" i="1"/>
  <c r="O25" i="1" s="1"/>
  <c r="S25" i="1" s="1"/>
  <c r="D26" i="1"/>
  <c r="O26" i="1" s="1"/>
  <c r="S26" i="1" s="1"/>
  <c r="D27" i="1"/>
  <c r="O27" i="1" s="1"/>
  <c r="S27" i="1" s="1"/>
  <c r="D28" i="1"/>
  <c r="O28" i="1" s="1"/>
  <c r="S28" i="1" s="1"/>
  <c r="D29" i="1"/>
  <c r="O29" i="1" s="1"/>
  <c r="S29" i="1" s="1"/>
  <c r="D30" i="1"/>
  <c r="O30" i="1" s="1"/>
  <c r="S30" i="1" s="1"/>
  <c r="D31" i="1"/>
  <c r="O31" i="1" s="1"/>
  <c r="D2" i="1"/>
  <c r="O2" i="1" s="1"/>
  <c r="S2" i="1" l="1"/>
  <c r="S17" i="1"/>
  <c r="S16" i="1"/>
  <c r="S31" i="1"/>
  <c r="S15" i="1"/>
</calcChain>
</file>

<file path=xl/sharedStrings.xml><?xml version="1.0" encoding="utf-8"?>
<sst xmlns="http://schemas.openxmlformats.org/spreadsheetml/2006/main" count="237" uniqueCount="114">
  <si>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</si>
  <si>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</si>
  <si>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</si>
  <si>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</si>
  <si>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</si>
  <si>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</si>
  <si>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</si>
  <si>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</si>
  <si>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</si>
  <si>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</si>
  <si>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</si>
  <si>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</si>
  <si>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</si>
  <si>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</si>
  <si>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</si>
  <si>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</si>
  <si>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</si>
  <si>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</si>
  <si>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</si>
  <si>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</si>
  <si>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</si>
  <si>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</si>
  <si>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</si>
  <si>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</si>
  <si>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</si>
  <si>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</si>
  <si>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</si>
  <si>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</si>
  <si>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</si>
  <si>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</si>
  <si>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</si>
  <si>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</si>
  <si>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</si>
  <si>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</si>
  <si>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</si>
  <si>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</si>
  <si>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</si>
  <si>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</si>
  <si>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</si>
  <si>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</si>
  <si>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</si>
  <si>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</si>
  <si>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</si>
  <si>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</si>
  <si>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</si>
  <si>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</si>
  <si>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</si>
  <si>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</si>
  <si>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</si>
  <si>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</si>
  <si>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</si>
  <si>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</si>
  <si>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</si>
  <si>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</si>
  <si>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</si>
  <si>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</si>
  <si>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</si>
  <si>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</si>
  <si>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</si>
  <si>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</si>
  <si>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</si>
  <si>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</si>
  <si>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</si>
  <si>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</si>
  <si>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</si>
  <si>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</si>
  <si>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</si>
  <si>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</si>
  <si>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</si>
  <si>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</si>
  <si>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</si>
  <si>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</si>
  <si>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</si>
  <si>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</si>
  <si>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</si>
  <si>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</si>
  <si>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</si>
  <si>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</si>
  <si>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</si>
  <si>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</si>
  <si>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</si>
  <si>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</si>
  <si>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</si>
  <si>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</si>
  <si>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</si>
  <si>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</si>
  <si>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</si>
  <si>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</si>
  <si>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</si>
  <si>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</si>
  <si>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</si>
  <si>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</si>
  <si>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</si>
  <si>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</si>
  <si>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</si>
  <si>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</si>
  <si>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</si>
  <si>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</si>
  <si>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</si>
  <si>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</si>
  <si>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</si>
  <si>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</si>
  <si>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</si>
  <si>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</si>
  <si>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</si>
  <si>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Merchant_Name</t>
  </si>
  <si>
    <t>Ex_Rate</t>
  </si>
  <si>
    <t>Amt_USD</t>
  </si>
  <si>
    <t>Ctrl + E</t>
  </si>
  <si>
    <t>Gateway_Region</t>
  </si>
  <si>
    <t>High_value_flag</t>
  </si>
  <si>
    <t>High _Risk_Flag</t>
  </si>
  <si>
    <t>NULL</t>
  </si>
  <si>
    <t>User_Region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</si>
</sst>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m\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ta%20Agrawal\OneDrive\Desktop\Assignment\01_data\Raw\exchange_rates.csv" TargetMode="External"/><Relationship Id="rId1" Type="http://schemas.openxmlformats.org/officeDocument/2006/relationships/externalLinkPath" Target="file:///C:\Users\Mita%20Agrawal\OneDrive\Desktop\Assignment\01_data\Raw\exchange_rate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ta%20Agrawal\OneDrive\Desktop\Assignment\01_data\Raw\merchant_master.csv" TargetMode="External"/><Relationship Id="rId1" Type="http://schemas.openxmlformats.org/officeDocument/2006/relationships/externalLinkPath" Target="file:///C:\Users\Mita%20Agrawal\OneDrive\Desktop\Assignment\01_data\Raw\merchant_master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ta%20Agrawal\OneDrive\Desktop\Assignment\01_data\Raw\users.csv" TargetMode="External"/><Relationship Id="rId1" Type="http://schemas.openxmlformats.org/officeDocument/2006/relationships/externalLinkPath" Target="file:///C:\Users\Mita%20Agrawal\OneDrive\Desktop\Assignment\01_data\Raw\user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hange_rates"/>
    </sheetNames>
    <sheetDataSet>
      <sheetData sheetId="0">
        <row r="1">
          <cell r="A1" t="str">
            <v>Date_Curr</v>
          </cell>
          <cell r="B1" t="str">
            <v>rate_date</v>
          </cell>
          <cell r="C1" t="str">
            <v>currency</v>
          </cell>
          <cell r="D1" t="str">
            <v>usd_rate</v>
          </cell>
        </row>
        <row r="2">
          <cell r="A2" t="str">
            <v>46082INR</v>
          </cell>
          <cell r="B2">
            <v>46082</v>
          </cell>
          <cell r="C2" t="str">
            <v>INR</v>
          </cell>
          <cell r="D2">
            <v>1.1900000000000001E-2</v>
          </cell>
        </row>
        <row r="3">
          <cell r="A3" t="str">
            <v>46082EUR</v>
          </cell>
          <cell r="B3">
            <v>46082</v>
          </cell>
          <cell r="C3" t="str">
            <v>EUR</v>
          </cell>
          <cell r="D3">
            <v>1.08</v>
          </cell>
        </row>
        <row r="4">
          <cell r="A4" t="str">
            <v>46082USD</v>
          </cell>
          <cell r="B4">
            <v>46082</v>
          </cell>
          <cell r="C4" t="str">
            <v>USD</v>
          </cell>
          <cell r="D4">
            <v>1</v>
          </cell>
        </row>
        <row r="5">
          <cell r="A5" t="str">
            <v>46083INR</v>
          </cell>
          <cell r="B5">
            <v>46083</v>
          </cell>
          <cell r="C5" t="str">
            <v>INR</v>
          </cell>
          <cell r="D5">
            <v>1.2E-2</v>
          </cell>
        </row>
        <row r="6">
          <cell r="A6" t="str">
            <v>46083EUR</v>
          </cell>
          <cell r="B6">
            <v>46083</v>
          </cell>
          <cell r="C6" t="str">
            <v>EUR</v>
          </cell>
          <cell r="D6">
            <v>1.0900000000000001</v>
          </cell>
        </row>
        <row r="7">
          <cell r="A7" t="str">
            <v>46083USD</v>
          </cell>
          <cell r="B7">
            <v>46083</v>
          </cell>
          <cell r="C7" t="str">
            <v>USD</v>
          </cell>
          <cell r="D7">
            <v>1</v>
          </cell>
        </row>
        <row r="8">
          <cell r="A8" t="str">
            <v>46084INR</v>
          </cell>
          <cell r="B8">
            <v>46084</v>
          </cell>
          <cell r="C8" t="str">
            <v>INR</v>
          </cell>
          <cell r="D8">
            <v>1.21E-2</v>
          </cell>
        </row>
        <row r="9">
          <cell r="A9" t="str">
            <v>46084EUR</v>
          </cell>
          <cell r="B9">
            <v>46084</v>
          </cell>
          <cell r="C9" t="str">
            <v>EUR</v>
          </cell>
          <cell r="D9">
            <v>1.08</v>
          </cell>
        </row>
        <row r="10">
          <cell r="A10" t="str">
            <v>46084USD</v>
          </cell>
          <cell r="B10">
            <v>46084</v>
          </cell>
          <cell r="C10" t="str">
            <v>USD</v>
          </cell>
          <cell r="D10">
            <v>1</v>
          </cell>
        </row>
        <row r="11">
          <cell r="A11" t="str">
            <v>46085INR</v>
          </cell>
          <cell r="B11">
            <v>46085</v>
          </cell>
          <cell r="C11" t="str">
            <v>INR</v>
          </cell>
          <cell r="D11">
            <v>1.2E-2</v>
          </cell>
        </row>
        <row r="12">
          <cell r="A12" t="str">
            <v>46085EUR</v>
          </cell>
          <cell r="B12">
            <v>46085</v>
          </cell>
          <cell r="C12" t="str">
            <v>EUR</v>
          </cell>
          <cell r="D12">
            <v>1.07</v>
          </cell>
        </row>
        <row r="13">
          <cell r="A13" t="str">
            <v>46085USD</v>
          </cell>
          <cell r="B13">
            <v>46085</v>
          </cell>
          <cell r="C13" t="str">
            <v>USD</v>
          </cell>
          <cell r="D13">
            <v>1</v>
          </cell>
        </row>
        <row r="14">
          <cell r="A14" t="str">
            <v>46086INR</v>
          </cell>
          <cell r="B14">
            <v>46086</v>
          </cell>
          <cell r="C14" t="str">
            <v>INR</v>
          </cell>
          <cell r="D14">
            <v>1.18E-2</v>
          </cell>
        </row>
        <row r="15">
          <cell r="A15" t="str">
            <v>46086EUR</v>
          </cell>
          <cell r="B15">
            <v>46086</v>
          </cell>
          <cell r="C15" t="str">
            <v>EUR</v>
          </cell>
          <cell r="D15">
            <v>1.0900000000000001</v>
          </cell>
        </row>
        <row r="16">
          <cell r="A16" t="str">
            <v>46086USD</v>
          </cell>
          <cell r="B16">
            <v>46086</v>
          </cell>
          <cell r="C16" t="str">
            <v>USD</v>
          </cell>
          <cell r="D16">
            <v>1</v>
          </cell>
        </row>
        <row r="17">
          <cell r="A17" t="str">
            <v>46087INR</v>
          </cell>
          <cell r="B17">
            <v>46087</v>
          </cell>
          <cell r="C17" t="str">
            <v>INR</v>
          </cell>
          <cell r="D17">
            <v>1.1900000000000001E-2</v>
          </cell>
        </row>
        <row r="18">
          <cell r="A18" t="str">
            <v>46087EUR</v>
          </cell>
          <cell r="B18">
            <v>46087</v>
          </cell>
          <cell r="C18" t="str">
            <v>EUR</v>
          </cell>
          <cell r="D18">
            <v>1.08</v>
          </cell>
        </row>
        <row r="19">
          <cell r="A19" t="str">
            <v>46087USD</v>
          </cell>
          <cell r="B19">
            <v>46087</v>
          </cell>
          <cell r="C19" t="str">
            <v>USD</v>
          </cell>
          <cell r="D19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rchant_master"/>
    </sheetNames>
    <sheetDataSet>
      <sheetData sheetId="0">
        <row r="1">
          <cell r="B1" t="str">
            <v>merchant_name</v>
          </cell>
          <cell r="C1" t="str">
            <v>account_manager</v>
          </cell>
          <cell r="D1" t="str">
            <v>merchant_category</v>
          </cell>
          <cell r="E1" t="str">
            <v>default_region</v>
          </cell>
        </row>
        <row r="2">
          <cell r="B2" t="str">
            <v>Alpha Mart</v>
          </cell>
          <cell r="C2" t="str">
            <v>Aisha Khan</v>
          </cell>
          <cell r="D2" t="str">
            <v>Grocery</v>
          </cell>
          <cell r="E2" t="str">
            <v>APAC</v>
          </cell>
        </row>
        <row r="3">
          <cell r="B3" t="str">
            <v>Beta Stores</v>
          </cell>
          <cell r="C3" t="str">
            <v>Rohan Mehta</v>
          </cell>
          <cell r="D3" t="str">
            <v>Electronics</v>
          </cell>
          <cell r="E3" t="str">
            <v>APAC</v>
          </cell>
        </row>
        <row r="4">
          <cell r="B4" t="str">
            <v>City Pharma</v>
          </cell>
          <cell r="C4" t="str">
            <v>Elena Rossi</v>
          </cell>
          <cell r="D4" t="str">
            <v>Healthcare</v>
          </cell>
          <cell r="E4" t="str">
            <v>EU</v>
          </cell>
        </row>
        <row r="5">
          <cell r="B5" t="str">
            <v>Delta Travels</v>
          </cell>
          <cell r="C5" t="str">
            <v>Marcus Lee</v>
          </cell>
          <cell r="D5" t="str">
            <v>Travel</v>
          </cell>
          <cell r="E5" t="str">
            <v>US</v>
          </cell>
        </row>
        <row r="6">
          <cell r="B6" t="str">
            <v>Eco Home</v>
          </cell>
          <cell r="C6" t="str">
            <v>Nina Weber</v>
          </cell>
          <cell r="D6" t="str">
            <v>Home</v>
          </cell>
          <cell r="E6" t="str">
            <v>EU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s"/>
    </sheetNames>
    <sheetDataSet>
      <sheetData sheetId="0">
        <row r="1">
          <cell r="A1" t="str">
            <v>user_id</v>
          </cell>
          <cell r="B1" t="str">
            <v>user_name</v>
          </cell>
          <cell r="C1" t="str">
            <v>signup_date</v>
          </cell>
          <cell r="D1" t="str">
            <v>user_region</v>
          </cell>
          <cell r="E1" t="str">
            <v>risk_tier</v>
          </cell>
        </row>
        <row r="2">
          <cell r="A2" t="str">
            <v>U001</v>
          </cell>
          <cell r="B2" t="str">
            <v>Aarav Shah</v>
          </cell>
          <cell r="C2">
            <v>46032</v>
          </cell>
          <cell r="D2" t="str">
            <v>India</v>
          </cell>
          <cell r="E2" t="str">
            <v>medium</v>
          </cell>
        </row>
        <row r="3">
          <cell r="A3" t="str">
            <v>U002</v>
          </cell>
          <cell r="B3" t="str">
            <v>Meera Iyer</v>
          </cell>
          <cell r="C3">
            <v>46040</v>
          </cell>
          <cell r="D3" t="str">
            <v>India</v>
          </cell>
          <cell r="E3" t="str">
            <v>low</v>
          </cell>
        </row>
        <row r="4">
          <cell r="A4" t="str">
            <v>U003</v>
          </cell>
          <cell r="B4" t="str">
            <v>Kabir Jain</v>
          </cell>
          <cell r="C4">
            <v>46044</v>
          </cell>
          <cell r="D4" t="str">
            <v>India</v>
          </cell>
          <cell r="E4" t="str">
            <v>medium</v>
          </cell>
        </row>
        <row r="5">
          <cell r="A5" t="str">
            <v>U004</v>
          </cell>
          <cell r="B5" t="str">
            <v>Sofia Rossi</v>
          </cell>
          <cell r="C5">
            <v>46054</v>
          </cell>
          <cell r="D5" t="str">
            <v>Italy</v>
          </cell>
          <cell r="E5" t="str">
            <v>low</v>
          </cell>
        </row>
        <row r="6">
          <cell r="A6" t="str">
            <v>U005</v>
          </cell>
          <cell r="B6" t="str">
            <v>Vikram Nair</v>
          </cell>
          <cell r="C6">
            <v>46057</v>
          </cell>
          <cell r="D6" t="str">
            <v>India</v>
          </cell>
          <cell r="E6" t="str">
            <v>medium</v>
          </cell>
        </row>
        <row r="7">
          <cell r="A7" t="str">
            <v>U006</v>
          </cell>
          <cell r="B7" t="str">
            <v>Riya Gupta</v>
          </cell>
          <cell r="C7">
            <v>46061</v>
          </cell>
          <cell r="D7" t="str">
            <v>India</v>
          </cell>
          <cell r="E7" t="str">
            <v>high</v>
          </cell>
        </row>
        <row r="8">
          <cell r="A8" t="str">
            <v>U007</v>
          </cell>
          <cell r="B8" t="str">
            <v>Noah Kim</v>
          </cell>
          <cell r="C8">
            <v>46065</v>
          </cell>
          <cell r="D8" t="str">
            <v>Singapore</v>
          </cell>
          <cell r="E8" t="str">
            <v>medium</v>
          </cell>
        </row>
        <row r="9">
          <cell r="A9" t="str">
            <v>U008</v>
          </cell>
          <cell r="B9" t="str">
            <v>Ishaan Verma</v>
          </cell>
          <cell r="C9">
            <v>46068</v>
          </cell>
          <cell r="D9" t="str">
            <v>India</v>
          </cell>
          <cell r="E9" t="str">
            <v>high</v>
          </cell>
        </row>
        <row r="10">
          <cell r="A10" t="str">
            <v>U009</v>
          </cell>
          <cell r="B10" t="str">
            <v>Emma Brooks</v>
          </cell>
          <cell r="C10">
            <v>46073</v>
          </cell>
          <cell r="D10" t="str">
            <v>USA</v>
          </cell>
          <cell r="E10" t="str">
            <v>medium</v>
          </cell>
        </row>
        <row r="11">
          <cell r="A11" t="str">
            <v>U010</v>
          </cell>
          <cell r="B11" t="str">
            <v>Liam Carter</v>
          </cell>
          <cell r="C11">
            <v>46078</v>
          </cell>
          <cell r="D11" t="str">
            <v>USA</v>
          </cell>
          <cell r="E11" t="str">
            <v>low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topLeftCell="G1" workbookViewId="0">
      <selection activeCell="Q1" sqref="Q1"/>
    </sheetView>
  </sheetViews>
  <sheetFormatPr defaultRowHeight="14.5" x14ac:dyDescent="0.35"/>
  <cols>
    <col min="1" max="1" width="12.7265625" bestFit="1" customWidth="1"/>
    <col min="2" max="2" width="15" bestFit="1" customWidth="1"/>
    <col min="3" max="3" width="14.6328125" bestFit="1" customWidth="1"/>
    <col min="4" max="4" width="14.6328125" customWidth="1"/>
    <col min="5" max="5" width="11.54296875" bestFit="1" customWidth="1"/>
    <col min="6" max="6" width="8" bestFit="1" customWidth="1"/>
    <col min="7" max="7" width="8" customWidth="1"/>
    <col min="8" max="8" width="8.81640625" bestFit="1" customWidth="1"/>
    <col min="9" max="9" width="18.54296875" bestFit="1" customWidth="1"/>
    <col min="10" max="10" width="18.54296875" customWidth="1"/>
    <col min="11" max="11" width="9.1796875" bestFit="1" customWidth="1"/>
    <col min="12" max="12" width="9.7265625" bestFit="1" customWidth="1"/>
    <col min="13" max="13" width="14.08984375" bestFit="1" customWidth="1"/>
    <col min="14" max="14" width="14.90625" bestFit="1" customWidth="1"/>
    <col min="15" max="15" width="14.90625" customWidth="1"/>
    <col min="16" max="16" width="7" bestFit="1" customWidth="1"/>
    <col min="17" max="17" width="12.90625" customWidth="1"/>
    <col min="18" max="18" width="15.81640625" bestFit="1" customWidth="1"/>
    <col min="19" max="19" width="14.08984375" style="5" bestFit="1" customWidth="1"/>
    <col min="20" max="20" width="13.6328125" bestFit="1" customWidth="1"/>
  </cols>
  <sheetData>
    <row r="1" spans="1:20" x14ac:dyDescent="0.35">
      <c r="A1" s="1" t="s">
        <v>0</v>
      </c>
      <c r="B1" s="1" t="s">
        <v>1</v>
      </c>
      <c r="C1" t="s">
        <v>2</v>
      </c>
      <c r="D1" s="1" t="s">
        <v>105</v>
      </c>
      <c r="E1" t="s">
        <v>3</v>
      </c>
      <c r="F1" t="s">
        <v>4</v>
      </c>
      <c r="G1" s="1" t="s">
        <v>106</v>
      </c>
      <c r="H1" s="1" t="s">
        <v>107</v>
      </c>
      <c r="I1" t="s">
        <v>5</v>
      </c>
      <c r="J1" s="1" t="str">
        <f>TRIM(PROPER(I1))</f>
        <v>Status</v>
      </c>
      <c r="K1" t="s">
        <v>6</v>
      </c>
      <c r="L1" s="1" t="str">
        <f>TRIM(PROPER(K1))</f>
        <v>Risk_Score</v>
      </c>
      <c r="M1" t="s">
        <v>7</v>
      </c>
      <c r="N1" t="s">
        <v>109</v>
      </c>
      <c r="O1" s="1" t="str">
        <f>TRIM(PROPER(M1))</f>
        <v>Gateway_Region</v>
      </c>
      <c r="P1" t="s">
        <v>8</v>
      </c>
      <c r="Q1" s="1" t="s">
        <v>113</v>
      </c>
      <c r="R1" t="s">
        <v>9</v>
      </c>
      <c r="S1" s="4" t="s">
        <v>110</v>
      </c>
      <c r="T1" s="1" t="s">
        <v>111</v>
      </c>
    </row>
    <row r="2" spans="1:20" x14ac:dyDescent="0.35">
      <c r="A2" t="s">
        <v>10</v>
      </c>
      <c r="B2" s="3">
        <v>46082</v>
      </c>
      <c r="C2" t="s">
        <v>11</v>
      </c>
      <c r="D2" t="str">
        <f>TRIM(PROPER(C2))</f>
        <v>Alpha Mart</v>
      </c>
      <c r="E2">
        <v>420000</v>
      </c>
      <c r="F2" t="s">
        <v>12</v>
      </c>
      <c r="G2">
        <f>VLOOKUP(B2 &amp; F2, [1]exchange_rates!$A$1:$D$19, 4, FALSE)</f>
        <v>1.1900000000000001E-2</v>
      </c>
      <c r="H2">
        <f>E2*G2</f>
        <v>4998</v>
      </c>
      <c r="I2" t="s">
        <v>13</v>
      </c>
      <c r="J2" t="str">
        <f>TRIM(LOWER(I2))</f>
        <v>captured</v>
      </c>
      <c r="K2" t="s">
        <v>14</v>
      </c>
      <c r="L2">
        <v>62</v>
      </c>
      <c r="M2" t="s">
        <v>15</v>
      </c>
      <c r="N2" t="str">
        <f>TRIM(UPPER(M2))</f>
        <v>APAC</v>
      </c>
      <c r="O2" t="str">
        <f>VLOOKUP(D2,[2]merchant_master!$B$1:$E$6,4,FALSE)</f>
        <v>APAC</v>
      </c>
      <c r="P2" t="s">
        <v>16</v>
      </c>
      <c r="Q2" t="str">
        <f>VLOOKUP(P2,[3]users!$A$1:$E$11,4,)</f>
        <v>India</v>
      </c>
      <c r="R2" t="s">
        <v>17</v>
      </c>
      <c r="S2" s="5">
        <f>_xlfn.IFS(AND(O2="APAC",H2&gt;5000),1,AND(O2="EU",H2&gt;6000),1,AND(O2="US",H2&gt;7000),1,TRUE,0)</f>
        <v>0</v>
      </c>
      <c r="T2">
        <f>IF(OR(L2&gt;=70, ISNUMBER(SEARCH("chargeback", J2))), 1, 0)</f>
        <v>0</v>
      </c>
    </row>
    <row r="3" spans="1:20" x14ac:dyDescent="0.35">
      <c r="A3" t="s">
        <v>18</v>
      </c>
      <c r="B3" s="3">
        <v>46082</v>
      </c>
      <c r="C3" t="s">
        <v>19</v>
      </c>
      <c r="D3" t="str">
        <f t="shared" ref="D3:D31" si="0">TRIM(PROPER(C3))</f>
        <v>Alpha Mart</v>
      </c>
      <c r="E3">
        <v>210000</v>
      </c>
      <c r="F3" t="s">
        <v>12</v>
      </c>
      <c r="G3">
        <f>VLOOKUP(B3 &amp; F3, [1]exchange_rates!$A$1:$D$19, 4, FALSE)</f>
        <v>1.1900000000000001E-2</v>
      </c>
      <c r="H3">
        <f t="shared" ref="H3:H31" si="1">E3*G3</f>
        <v>2499</v>
      </c>
      <c r="I3" t="s">
        <v>20</v>
      </c>
      <c r="J3" t="str">
        <f t="shared" ref="J3:J31" si="2">TRIM(LOWER(I3))</f>
        <v>captured</v>
      </c>
      <c r="K3">
        <v>55</v>
      </c>
      <c r="L3">
        <v>55</v>
      </c>
      <c r="N3" t="str">
        <f t="shared" ref="N3:N31" si="3">TRIM(UPPER(M3))</f>
        <v/>
      </c>
      <c r="O3" t="str">
        <f>VLOOKUP(D3,[2]merchant_master!$B$1:$E$6,4,FALSE)</f>
        <v>APAC</v>
      </c>
      <c r="P3" t="s">
        <v>21</v>
      </c>
      <c r="Q3" t="str">
        <f>VLOOKUP(P3,[3]users!$A$1:$E$11,4,)</f>
        <v>India</v>
      </c>
      <c r="R3" t="s">
        <v>22</v>
      </c>
      <c r="S3" s="5">
        <f t="shared" ref="S3:S31" si="4">_xlfn.IFS(AND(O3="APAC",H3&gt;5000),1,AND(O3="EU",H3&gt;6000),1,AND(O3="US",H3&gt;7000),1,TRUE,0)</f>
        <v>0</v>
      </c>
      <c r="T3">
        <f t="shared" ref="T3:T31" si="5">IF(OR(L3&gt;=70, ISNUMBER(SEARCH("chargeback", J3))), 1, 0)</f>
        <v>0</v>
      </c>
    </row>
    <row r="4" spans="1:20" x14ac:dyDescent="0.35">
      <c r="A4" t="s">
        <v>23</v>
      </c>
      <c r="B4" s="3">
        <v>46082</v>
      </c>
      <c r="C4" t="s">
        <v>24</v>
      </c>
      <c r="D4" t="str">
        <f t="shared" si="0"/>
        <v>Beta Stores</v>
      </c>
      <c r="E4">
        <v>510000</v>
      </c>
      <c r="F4" t="s">
        <v>12</v>
      </c>
      <c r="G4">
        <f>VLOOKUP(B4 &amp; F4, [1]exchange_rates!$A$1:$D$19, 4, FALSE)</f>
        <v>1.1900000000000001E-2</v>
      </c>
      <c r="H4">
        <f t="shared" si="1"/>
        <v>6069</v>
      </c>
      <c r="I4" t="s">
        <v>25</v>
      </c>
      <c r="J4" t="str">
        <f t="shared" si="2"/>
        <v>captured</v>
      </c>
      <c r="K4">
        <v>71</v>
      </c>
      <c r="L4">
        <v>71</v>
      </c>
      <c r="M4" t="s">
        <v>26</v>
      </c>
      <c r="N4" t="str">
        <f t="shared" si="3"/>
        <v>APAC</v>
      </c>
      <c r="O4" t="str">
        <f>VLOOKUP(D4,[2]merchant_master!$B$1:$E$6,4,FALSE)</f>
        <v>APAC</v>
      </c>
      <c r="P4" t="s">
        <v>27</v>
      </c>
      <c r="Q4" t="str">
        <f>VLOOKUP(P4,[3]users!$A$1:$E$11,4,)</f>
        <v>India</v>
      </c>
      <c r="R4" t="s">
        <v>28</v>
      </c>
      <c r="S4" s="5">
        <f t="shared" si="4"/>
        <v>1</v>
      </c>
      <c r="T4">
        <f t="shared" si="5"/>
        <v>1</v>
      </c>
    </row>
    <row r="5" spans="1:20" x14ac:dyDescent="0.35">
      <c r="A5" t="s">
        <v>29</v>
      </c>
      <c r="B5" s="3">
        <v>46083</v>
      </c>
      <c r="C5" t="s">
        <v>30</v>
      </c>
      <c r="D5" t="str">
        <f t="shared" si="0"/>
        <v>Beta Stores</v>
      </c>
      <c r="E5">
        <v>160000</v>
      </c>
      <c r="F5" t="s">
        <v>12</v>
      </c>
      <c r="G5">
        <f>VLOOKUP(B5 &amp; F5, [1]exchange_rates!$A$1:$D$19, 4, FALSE)</f>
        <v>1.2E-2</v>
      </c>
      <c r="H5">
        <f t="shared" si="1"/>
        <v>1920</v>
      </c>
      <c r="I5" t="s">
        <v>31</v>
      </c>
      <c r="J5" t="str">
        <f t="shared" si="2"/>
        <v>failed e05 timeout</v>
      </c>
      <c r="K5">
        <v>68</v>
      </c>
      <c r="L5">
        <v>68</v>
      </c>
      <c r="M5" t="s">
        <v>32</v>
      </c>
      <c r="N5" t="str">
        <f t="shared" si="3"/>
        <v>APAC</v>
      </c>
      <c r="O5" t="str">
        <f>VLOOKUP(D5,[2]merchant_master!$B$1:$E$6,4,FALSE)</f>
        <v>APAC</v>
      </c>
      <c r="P5" t="s">
        <v>33</v>
      </c>
      <c r="Q5" t="str">
        <f>VLOOKUP(P5,[3]users!$A$1:$E$11,4,)</f>
        <v>Italy</v>
      </c>
      <c r="R5" t="s">
        <v>22</v>
      </c>
      <c r="S5" s="5">
        <f t="shared" si="4"/>
        <v>0</v>
      </c>
      <c r="T5">
        <f t="shared" si="5"/>
        <v>0</v>
      </c>
    </row>
    <row r="6" spans="1:20" x14ac:dyDescent="0.35">
      <c r="A6" t="s">
        <v>34</v>
      </c>
      <c r="B6" s="3">
        <v>46083</v>
      </c>
      <c r="C6" t="s">
        <v>35</v>
      </c>
      <c r="D6" t="str">
        <f t="shared" si="0"/>
        <v>Alpha Mart</v>
      </c>
      <c r="E6">
        <v>390000</v>
      </c>
      <c r="F6" t="s">
        <v>12</v>
      </c>
      <c r="G6">
        <f>VLOOKUP(B6 &amp; F6, [1]exchange_rates!$A$1:$D$19, 4, FALSE)</f>
        <v>1.2E-2</v>
      </c>
      <c r="H6">
        <f t="shared" si="1"/>
        <v>4680</v>
      </c>
      <c r="I6" t="s">
        <v>25</v>
      </c>
      <c r="J6" t="str">
        <f t="shared" si="2"/>
        <v>captured</v>
      </c>
      <c r="K6">
        <v>58</v>
      </c>
      <c r="L6">
        <v>58</v>
      </c>
      <c r="N6" t="str">
        <f t="shared" si="3"/>
        <v/>
      </c>
      <c r="O6" t="str">
        <f>VLOOKUP(D6,[2]merchant_master!$B$1:$E$6,4,FALSE)</f>
        <v>APAC</v>
      </c>
      <c r="P6" t="s">
        <v>16</v>
      </c>
      <c r="Q6" t="str">
        <f>VLOOKUP(P6,[3]users!$A$1:$E$11,4,)</f>
        <v>India</v>
      </c>
      <c r="R6" t="s">
        <v>17</v>
      </c>
      <c r="S6" s="5">
        <f t="shared" si="4"/>
        <v>0</v>
      </c>
      <c r="T6">
        <f t="shared" si="5"/>
        <v>0</v>
      </c>
    </row>
    <row r="7" spans="1:20" x14ac:dyDescent="0.35">
      <c r="A7" t="s">
        <v>36</v>
      </c>
      <c r="B7" s="3">
        <v>46083</v>
      </c>
      <c r="C7" t="s">
        <v>30</v>
      </c>
      <c r="D7" t="str">
        <f t="shared" si="0"/>
        <v>Beta Stores</v>
      </c>
      <c r="E7">
        <v>275000</v>
      </c>
      <c r="F7" t="s">
        <v>12</v>
      </c>
      <c r="G7">
        <f>VLOOKUP(B7 &amp; F7, [1]exchange_rates!$A$1:$D$19, 4, FALSE)</f>
        <v>1.2E-2</v>
      </c>
      <c r="H7">
        <f t="shared" si="1"/>
        <v>3300</v>
      </c>
      <c r="I7" t="s">
        <v>20</v>
      </c>
      <c r="J7" t="str">
        <f t="shared" si="2"/>
        <v>captured</v>
      </c>
      <c r="K7" t="s">
        <v>37</v>
      </c>
      <c r="L7">
        <v>64</v>
      </c>
      <c r="N7" t="str">
        <f t="shared" si="3"/>
        <v/>
      </c>
      <c r="O7" t="str">
        <f>VLOOKUP(D7,[2]merchant_master!$B$1:$E$6,4,FALSE)</f>
        <v>APAC</v>
      </c>
      <c r="P7" t="s">
        <v>38</v>
      </c>
      <c r="Q7" t="str">
        <f>VLOOKUP(P7,[3]users!$A$1:$E$11,4,)</f>
        <v>India</v>
      </c>
      <c r="R7" t="s">
        <v>39</v>
      </c>
      <c r="S7" s="5">
        <f t="shared" si="4"/>
        <v>0</v>
      </c>
      <c r="T7">
        <f t="shared" si="5"/>
        <v>0</v>
      </c>
    </row>
    <row r="8" spans="1:20" x14ac:dyDescent="0.35">
      <c r="A8" t="s">
        <v>40</v>
      </c>
      <c r="B8" s="3">
        <v>46083</v>
      </c>
      <c r="C8" t="s">
        <v>41</v>
      </c>
      <c r="D8" t="str">
        <f t="shared" si="0"/>
        <v>Alpha Mart</v>
      </c>
      <c r="E8">
        <v>450000</v>
      </c>
      <c r="F8" t="s">
        <v>12</v>
      </c>
      <c r="G8">
        <f>VLOOKUP(B8 &amp; F8, [1]exchange_rates!$A$1:$D$19, 4, FALSE)</f>
        <v>1.2E-2</v>
      </c>
      <c r="H8">
        <f t="shared" si="1"/>
        <v>5400</v>
      </c>
      <c r="I8" t="s">
        <v>42</v>
      </c>
      <c r="J8" t="str">
        <f t="shared" si="2"/>
        <v>chargeback</v>
      </c>
      <c r="K8" t="s">
        <v>43</v>
      </c>
      <c r="L8">
        <v>83</v>
      </c>
      <c r="M8" t="s">
        <v>26</v>
      </c>
      <c r="N8" t="str">
        <f t="shared" si="3"/>
        <v>APAC</v>
      </c>
      <c r="O8" t="str">
        <f>VLOOKUP(D8,[2]merchant_master!$B$1:$E$6,4,FALSE)</f>
        <v>APAC</v>
      </c>
      <c r="P8" t="s">
        <v>44</v>
      </c>
      <c r="Q8" t="str">
        <f>VLOOKUP(P8,[3]users!$A$1:$E$11,4,)</f>
        <v>India</v>
      </c>
      <c r="R8" t="s">
        <v>22</v>
      </c>
      <c r="S8" s="5">
        <f t="shared" si="4"/>
        <v>1</v>
      </c>
      <c r="T8">
        <f t="shared" si="5"/>
        <v>1</v>
      </c>
    </row>
    <row r="9" spans="1:20" x14ac:dyDescent="0.35">
      <c r="A9" t="s">
        <v>45</v>
      </c>
      <c r="B9" s="3">
        <v>46084</v>
      </c>
      <c r="C9" t="s">
        <v>24</v>
      </c>
      <c r="D9" t="str">
        <f t="shared" si="0"/>
        <v>Beta Stores</v>
      </c>
      <c r="E9">
        <v>340000</v>
      </c>
      <c r="F9" t="s">
        <v>12</v>
      </c>
      <c r="G9">
        <f>VLOOKUP(B9 &amp; F9, [1]exchange_rates!$A$1:$D$19, 4, FALSE)</f>
        <v>1.21E-2</v>
      </c>
      <c r="H9">
        <f t="shared" si="1"/>
        <v>4114</v>
      </c>
      <c r="I9" t="s">
        <v>20</v>
      </c>
      <c r="J9" t="str">
        <f t="shared" si="2"/>
        <v>captured</v>
      </c>
      <c r="K9">
        <v>59</v>
      </c>
      <c r="L9">
        <v>59</v>
      </c>
      <c r="N9" t="str">
        <f t="shared" si="3"/>
        <v/>
      </c>
      <c r="O9" t="str">
        <f>VLOOKUP(D9,[2]merchant_master!$B$1:$E$6,4,FALSE)</f>
        <v>APAC</v>
      </c>
      <c r="P9" t="s">
        <v>46</v>
      </c>
      <c r="Q9" t="str">
        <f>VLOOKUP(P9,[3]users!$A$1:$E$11,4,)</f>
        <v>Singapore</v>
      </c>
      <c r="R9" t="s">
        <v>17</v>
      </c>
      <c r="S9" s="5">
        <f t="shared" si="4"/>
        <v>0</v>
      </c>
      <c r="T9">
        <f t="shared" si="5"/>
        <v>0</v>
      </c>
    </row>
    <row r="10" spans="1:20" x14ac:dyDescent="0.35">
      <c r="A10" t="s">
        <v>47</v>
      </c>
      <c r="B10" s="3">
        <v>46084</v>
      </c>
      <c r="C10" t="s">
        <v>35</v>
      </c>
      <c r="D10" t="str">
        <f t="shared" si="0"/>
        <v>Alpha Mart</v>
      </c>
      <c r="E10">
        <v>125000</v>
      </c>
      <c r="F10" t="s">
        <v>12</v>
      </c>
      <c r="G10">
        <f>VLOOKUP(B10 &amp; F10, [1]exchange_rates!$A$1:$D$19, 4, FALSE)</f>
        <v>1.21E-2</v>
      </c>
      <c r="H10">
        <f t="shared" si="1"/>
        <v>1512.5</v>
      </c>
      <c r="I10" t="s">
        <v>13</v>
      </c>
      <c r="J10" t="str">
        <f t="shared" si="2"/>
        <v>captured</v>
      </c>
      <c r="K10">
        <v>46</v>
      </c>
      <c r="L10">
        <v>46</v>
      </c>
      <c r="M10" t="s">
        <v>15</v>
      </c>
      <c r="N10" t="str">
        <f t="shared" si="3"/>
        <v>APAC</v>
      </c>
      <c r="O10" t="str">
        <f>VLOOKUP(D10,[2]merchant_master!$B$1:$E$6,4,FALSE)</f>
        <v>APAC</v>
      </c>
      <c r="P10" t="s">
        <v>21</v>
      </c>
      <c r="Q10" t="str">
        <f>VLOOKUP(P10,[3]users!$A$1:$E$11,4,)</f>
        <v>India</v>
      </c>
      <c r="R10" t="s">
        <v>39</v>
      </c>
      <c r="S10" s="5">
        <f t="shared" si="4"/>
        <v>0</v>
      </c>
      <c r="T10">
        <f t="shared" si="5"/>
        <v>0</v>
      </c>
    </row>
    <row r="11" spans="1:20" x14ac:dyDescent="0.35">
      <c r="A11" t="s">
        <v>48</v>
      </c>
      <c r="B11" s="3">
        <v>46084</v>
      </c>
      <c r="C11" t="s">
        <v>49</v>
      </c>
      <c r="D11" t="str">
        <f t="shared" si="0"/>
        <v>Beta Stores</v>
      </c>
      <c r="E11">
        <v>610000</v>
      </c>
      <c r="F11" t="s">
        <v>12</v>
      </c>
      <c r="G11">
        <f>VLOOKUP(B11 &amp; F11, [1]exchange_rates!$A$1:$D$19, 4, FALSE)</f>
        <v>1.21E-2</v>
      </c>
      <c r="H11">
        <f t="shared" si="1"/>
        <v>7381</v>
      </c>
      <c r="I11" t="s">
        <v>13</v>
      </c>
      <c r="J11" t="str">
        <f t="shared" si="2"/>
        <v>captured</v>
      </c>
      <c r="K11" t="s">
        <v>50</v>
      </c>
      <c r="L11">
        <v>77</v>
      </c>
      <c r="N11" t="str">
        <f t="shared" si="3"/>
        <v/>
      </c>
      <c r="O11" t="str">
        <f>VLOOKUP(D11,[2]merchant_master!$B$1:$E$6,4,FALSE)</f>
        <v>APAC</v>
      </c>
      <c r="P11" t="s">
        <v>27</v>
      </c>
      <c r="Q11" t="str">
        <f>VLOOKUP(P11,[3]users!$A$1:$E$11,4,)</f>
        <v>India</v>
      </c>
      <c r="R11" t="s">
        <v>22</v>
      </c>
      <c r="S11" s="5">
        <f t="shared" si="4"/>
        <v>1</v>
      </c>
      <c r="T11">
        <f t="shared" si="5"/>
        <v>1</v>
      </c>
    </row>
    <row r="12" spans="1:20" x14ac:dyDescent="0.35">
      <c r="A12" t="s">
        <v>51</v>
      </c>
      <c r="B12" s="3">
        <v>46084</v>
      </c>
      <c r="C12" t="s">
        <v>41</v>
      </c>
      <c r="D12" t="str">
        <f t="shared" si="0"/>
        <v>Alpha Mart</v>
      </c>
      <c r="E12">
        <v>195000</v>
      </c>
      <c r="F12" t="s">
        <v>12</v>
      </c>
      <c r="G12">
        <f>VLOOKUP(B12 &amp; F12, [1]exchange_rates!$A$1:$D$19, 4, FALSE)</f>
        <v>1.21E-2</v>
      </c>
      <c r="H12">
        <f t="shared" si="1"/>
        <v>2359.5</v>
      </c>
      <c r="I12" t="s">
        <v>52</v>
      </c>
      <c r="J12" t="str">
        <f t="shared" si="2"/>
        <v>failed e05 timeout</v>
      </c>
      <c r="L12" t="s">
        <v>112</v>
      </c>
      <c r="N12" t="str">
        <f t="shared" si="3"/>
        <v/>
      </c>
      <c r="O12" t="str">
        <f>VLOOKUP(D12,[2]merchant_master!$B$1:$E$6,4,FALSE)</f>
        <v>APAC</v>
      </c>
      <c r="P12" t="s">
        <v>53</v>
      </c>
      <c r="Q12" t="str">
        <f>VLOOKUP(P12,[3]users!$A$1:$E$11,4,)</f>
        <v>India</v>
      </c>
      <c r="R12" t="s">
        <v>17</v>
      </c>
      <c r="S12" s="5">
        <f t="shared" si="4"/>
        <v>0</v>
      </c>
      <c r="T12">
        <f t="shared" si="5"/>
        <v>1</v>
      </c>
    </row>
    <row r="13" spans="1:20" x14ac:dyDescent="0.35">
      <c r="A13" t="s">
        <v>54</v>
      </c>
      <c r="B13" s="3">
        <v>46085</v>
      </c>
      <c r="C13" t="s">
        <v>30</v>
      </c>
      <c r="D13" t="str">
        <f t="shared" si="0"/>
        <v>Beta Stores</v>
      </c>
      <c r="E13">
        <v>250000</v>
      </c>
      <c r="F13" t="s">
        <v>12</v>
      </c>
      <c r="G13">
        <f>VLOOKUP(B13 &amp; F13, [1]exchange_rates!$A$1:$D$19, 4, FALSE)</f>
        <v>1.2E-2</v>
      </c>
      <c r="H13">
        <f t="shared" si="1"/>
        <v>3000</v>
      </c>
      <c r="I13" t="s">
        <v>55</v>
      </c>
      <c r="J13" t="str">
        <f t="shared" si="2"/>
        <v>captured</v>
      </c>
      <c r="K13" t="s">
        <v>56</v>
      </c>
      <c r="L13">
        <v>61</v>
      </c>
      <c r="M13" t="s">
        <v>26</v>
      </c>
      <c r="N13" t="str">
        <f t="shared" si="3"/>
        <v>APAC</v>
      </c>
      <c r="O13" t="str">
        <f>VLOOKUP(D13,[2]merchant_master!$B$1:$E$6,4,FALSE)</f>
        <v>APAC</v>
      </c>
      <c r="P13" t="s">
        <v>57</v>
      </c>
      <c r="Q13" t="str">
        <f>VLOOKUP(P13,[3]users!$A$1:$E$11,4,)</f>
        <v>USA</v>
      </c>
      <c r="R13" t="s">
        <v>22</v>
      </c>
      <c r="S13" s="5">
        <f t="shared" si="4"/>
        <v>0</v>
      </c>
      <c r="T13">
        <f t="shared" si="5"/>
        <v>0</v>
      </c>
    </row>
    <row r="14" spans="1:20" x14ac:dyDescent="0.35">
      <c r="A14" t="s">
        <v>58</v>
      </c>
      <c r="B14" s="3">
        <v>46085</v>
      </c>
      <c r="C14" t="s">
        <v>11</v>
      </c>
      <c r="D14" t="str">
        <f t="shared" si="0"/>
        <v>Alpha Mart</v>
      </c>
      <c r="E14">
        <v>310000</v>
      </c>
      <c r="F14" t="s">
        <v>12</v>
      </c>
      <c r="G14">
        <f>VLOOKUP(B14 &amp; F14, [1]exchange_rates!$A$1:$D$19, 4, FALSE)</f>
        <v>1.2E-2</v>
      </c>
      <c r="H14">
        <f t="shared" si="1"/>
        <v>3720</v>
      </c>
      <c r="I14" t="s">
        <v>55</v>
      </c>
      <c r="J14" t="str">
        <f t="shared" si="2"/>
        <v>captured</v>
      </c>
      <c r="K14" t="s">
        <v>59</v>
      </c>
      <c r="L14">
        <v>54</v>
      </c>
      <c r="M14" t="s">
        <v>15</v>
      </c>
      <c r="N14" t="str">
        <f t="shared" si="3"/>
        <v>APAC</v>
      </c>
      <c r="O14" t="str">
        <f>VLOOKUP(D14,[2]merchant_master!$B$1:$E$6,4,FALSE)</f>
        <v>APAC</v>
      </c>
      <c r="P14" t="s">
        <v>60</v>
      </c>
      <c r="Q14" t="str">
        <f>VLOOKUP(P14,[3]users!$A$1:$E$11,4,)</f>
        <v>USA</v>
      </c>
      <c r="R14" t="s">
        <v>17</v>
      </c>
      <c r="S14" s="5">
        <f t="shared" si="4"/>
        <v>0</v>
      </c>
      <c r="T14">
        <f t="shared" si="5"/>
        <v>0</v>
      </c>
    </row>
    <row r="15" spans="1:20" x14ac:dyDescent="0.35">
      <c r="A15" t="s">
        <v>61</v>
      </c>
      <c r="B15" s="3">
        <v>46085</v>
      </c>
      <c r="C15" t="s">
        <v>30</v>
      </c>
      <c r="D15" t="str">
        <f t="shared" si="0"/>
        <v>Beta Stores</v>
      </c>
      <c r="E15">
        <v>470000</v>
      </c>
      <c r="F15" t="s">
        <v>12</v>
      </c>
      <c r="G15">
        <f>VLOOKUP(B15 &amp; F15, [1]exchange_rates!$A$1:$D$19, 4, FALSE)</f>
        <v>1.2E-2</v>
      </c>
      <c r="H15">
        <f t="shared" si="1"/>
        <v>5640</v>
      </c>
      <c r="I15" t="s">
        <v>55</v>
      </c>
      <c r="J15" t="str">
        <f t="shared" si="2"/>
        <v>captured</v>
      </c>
      <c r="K15" t="s">
        <v>62</v>
      </c>
      <c r="L15">
        <v>73</v>
      </c>
      <c r="M15" t="s">
        <v>15</v>
      </c>
      <c r="N15" t="str">
        <f t="shared" si="3"/>
        <v>APAC</v>
      </c>
      <c r="O15" t="str">
        <f>VLOOKUP(D15,[2]merchant_master!$B$1:$E$6,4,FALSE)</f>
        <v>APAC</v>
      </c>
      <c r="P15" t="s">
        <v>16</v>
      </c>
      <c r="Q15" t="str">
        <f>VLOOKUP(P15,[3]users!$A$1:$E$11,4,)</f>
        <v>India</v>
      </c>
      <c r="R15" t="s">
        <v>28</v>
      </c>
      <c r="S15" s="5">
        <f t="shared" si="4"/>
        <v>1</v>
      </c>
      <c r="T15">
        <f t="shared" si="5"/>
        <v>1</v>
      </c>
    </row>
    <row r="16" spans="1:20" x14ac:dyDescent="0.35">
      <c r="A16" t="s">
        <v>63</v>
      </c>
      <c r="B16" s="3">
        <v>46085</v>
      </c>
      <c r="C16" t="s">
        <v>35</v>
      </c>
      <c r="D16" t="str">
        <f t="shared" si="0"/>
        <v>Alpha Mart</v>
      </c>
      <c r="E16">
        <v>130000</v>
      </c>
      <c r="F16" t="s">
        <v>12</v>
      </c>
      <c r="G16">
        <f>VLOOKUP(B16 &amp; F16, [1]exchange_rates!$A$1:$D$19, 4, FALSE)</f>
        <v>1.2E-2</v>
      </c>
      <c r="H16">
        <f t="shared" si="1"/>
        <v>1560</v>
      </c>
      <c r="I16" t="s">
        <v>13</v>
      </c>
      <c r="J16" t="str">
        <f t="shared" si="2"/>
        <v>captured</v>
      </c>
      <c r="K16" t="s">
        <v>64</v>
      </c>
      <c r="L16">
        <v>52</v>
      </c>
      <c r="N16" t="str">
        <f t="shared" si="3"/>
        <v/>
      </c>
      <c r="O16" t="str">
        <f>VLOOKUP(D16,[2]merchant_master!$B$1:$E$6,4,FALSE)</f>
        <v>APAC</v>
      </c>
      <c r="P16" t="s">
        <v>21</v>
      </c>
      <c r="Q16" t="str">
        <f>VLOOKUP(P16,[3]users!$A$1:$E$11,4,)</f>
        <v>India</v>
      </c>
      <c r="R16" t="s">
        <v>22</v>
      </c>
      <c r="S16" s="5">
        <f t="shared" si="4"/>
        <v>0</v>
      </c>
      <c r="T16">
        <f t="shared" si="5"/>
        <v>0</v>
      </c>
    </row>
    <row r="17" spans="1:20" x14ac:dyDescent="0.35">
      <c r="A17" t="s">
        <v>65</v>
      </c>
      <c r="B17" s="3">
        <v>46086</v>
      </c>
      <c r="C17" t="s">
        <v>30</v>
      </c>
      <c r="D17" t="str">
        <f t="shared" si="0"/>
        <v>Beta Stores</v>
      </c>
      <c r="E17">
        <v>220000</v>
      </c>
      <c r="F17" t="s">
        <v>12</v>
      </c>
      <c r="G17">
        <f>VLOOKUP(B17 &amp; F17, [1]exchange_rates!$A$1:$D$19, 4, FALSE)</f>
        <v>1.18E-2</v>
      </c>
      <c r="H17">
        <f t="shared" si="1"/>
        <v>2596</v>
      </c>
      <c r="I17" t="s">
        <v>66</v>
      </c>
      <c r="J17" t="str">
        <f t="shared" si="2"/>
        <v>failed e05 timeout</v>
      </c>
      <c r="K17" t="s">
        <v>67</v>
      </c>
      <c r="L17">
        <v>69</v>
      </c>
      <c r="N17" t="str">
        <f t="shared" si="3"/>
        <v/>
      </c>
      <c r="O17" t="str">
        <f>VLOOKUP(D17,[2]merchant_master!$B$1:$E$6,4,FALSE)</f>
        <v>APAC</v>
      </c>
      <c r="P17" t="s">
        <v>53</v>
      </c>
      <c r="Q17" t="str">
        <f>VLOOKUP(P17,[3]users!$A$1:$E$11,4,)</f>
        <v>India</v>
      </c>
      <c r="R17" t="s">
        <v>22</v>
      </c>
      <c r="S17" s="5">
        <f t="shared" si="4"/>
        <v>0</v>
      </c>
      <c r="T17">
        <f t="shared" si="5"/>
        <v>0</v>
      </c>
    </row>
    <row r="18" spans="1:20" x14ac:dyDescent="0.35">
      <c r="A18" t="s">
        <v>68</v>
      </c>
      <c r="B18" s="3">
        <v>46086</v>
      </c>
      <c r="C18" t="s">
        <v>30</v>
      </c>
      <c r="D18" t="str">
        <f t="shared" si="0"/>
        <v>Beta Stores</v>
      </c>
      <c r="E18">
        <v>180000</v>
      </c>
      <c r="F18" t="s">
        <v>12</v>
      </c>
      <c r="G18">
        <f>VLOOKUP(B18 &amp; F18, [1]exchange_rates!$A$1:$D$19, 4, FALSE)</f>
        <v>1.18E-2</v>
      </c>
      <c r="H18">
        <f t="shared" si="1"/>
        <v>2124</v>
      </c>
      <c r="I18" t="s">
        <v>69</v>
      </c>
      <c r="J18" t="str">
        <f t="shared" si="2"/>
        <v>failed e05 timeout</v>
      </c>
      <c r="K18" t="s">
        <v>70</v>
      </c>
      <c r="L18">
        <v>72</v>
      </c>
      <c r="M18" t="s">
        <v>32</v>
      </c>
      <c r="N18" t="str">
        <f t="shared" si="3"/>
        <v>APAC</v>
      </c>
      <c r="O18" t="str">
        <f>VLOOKUP(D18,[2]merchant_master!$B$1:$E$6,4,FALSE)</f>
        <v>APAC</v>
      </c>
      <c r="P18" t="s">
        <v>53</v>
      </c>
      <c r="Q18" t="str">
        <f>VLOOKUP(P18,[3]users!$A$1:$E$11,4,)</f>
        <v>India</v>
      </c>
      <c r="R18" t="s">
        <v>22</v>
      </c>
      <c r="S18" s="5">
        <f t="shared" si="4"/>
        <v>0</v>
      </c>
      <c r="T18">
        <f t="shared" si="5"/>
        <v>1</v>
      </c>
    </row>
    <row r="19" spans="1:20" x14ac:dyDescent="0.35">
      <c r="A19" t="s">
        <v>71</v>
      </c>
      <c r="B19" s="3">
        <v>46086</v>
      </c>
      <c r="C19" t="s">
        <v>24</v>
      </c>
      <c r="D19" t="str">
        <f t="shared" si="0"/>
        <v>Beta Stores</v>
      </c>
      <c r="E19">
        <v>145000</v>
      </c>
      <c r="F19" t="s">
        <v>12</v>
      </c>
      <c r="G19">
        <f>VLOOKUP(B19 &amp; F19, [1]exchange_rates!$A$1:$D$19, 4, FALSE)</f>
        <v>1.18E-2</v>
      </c>
      <c r="H19">
        <f t="shared" si="1"/>
        <v>1711</v>
      </c>
      <c r="I19" t="s">
        <v>72</v>
      </c>
      <c r="J19" t="str">
        <f t="shared" si="2"/>
        <v>chargeback</v>
      </c>
      <c r="K19" t="s">
        <v>73</v>
      </c>
      <c r="L19">
        <v>86</v>
      </c>
      <c r="M19" t="s">
        <v>26</v>
      </c>
      <c r="N19" t="str">
        <f t="shared" si="3"/>
        <v>APAC</v>
      </c>
      <c r="O19" t="str">
        <f>VLOOKUP(D19,[2]merchant_master!$B$1:$E$6,4,FALSE)</f>
        <v>APAC</v>
      </c>
      <c r="P19" t="s">
        <v>53</v>
      </c>
      <c r="Q19" t="str">
        <f>VLOOKUP(P19,[3]users!$A$1:$E$11,4,)</f>
        <v>India</v>
      </c>
      <c r="R19" t="s">
        <v>17</v>
      </c>
      <c r="S19" s="5">
        <f t="shared" si="4"/>
        <v>0</v>
      </c>
      <c r="T19">
        <f t="shared" si="5"/>
        <v>1</v>
      </c>
    </row>
    <row r="20" spans="1:20" x14ac:dyDescent="0.35">
      <c r="A20" t="s">
        <v>74</v>
      </c>
      <c r="B20" s="3">
        <v>46086</v>
      </c>
      <c r="C20" t="s">
        <v>41</v>
      </c>
      <c r="D20" t="str">
        <f t="shared" si="0"/>
        <v>Alpha Mart</v>
      </c>
      <c r="E20">
        <v>260000</v>
      </c>
      <c r="F20" t="s">
        <v>12</v>
      </c>
      <c r="G20">
        <f>VLOOKUP(B20 &amp; F20, [1]exchange_rates!$A$1:$D$19, 4, FALSE)</f>
        <v>1.18E-2</v>
      </c>
      <c r="H20">
        <f t="shared" si="1"/>
        <v>3068</v>
      </c>
      <c r="I20" t="s">
        <v>69</v>
      </c>
      <c r="J20" t="str">
        <f t="shared" si="2"/>
        <v>failed e05 timeout</v>
      </c>
      <c r="K20" t="s">
        <v>75</v>
      </c>
      <c r="L20">
        <v>67</v>
      </c>
      <c r="M20" t="s">
        <v>32</v>
      </c>
      <c r="N20" t="str">
        <f t="shared" si="3"/>
        <v>APAC</v>
      </c>
      <c r="O20" t="str">
        <f>VLOOKUP(D20,[2]merchant_master!$B$1:$E$6,4,FALSE)</f>
        <v>APAC</v>
      </c>
      <c r="P20" t="s">
        <v>53</v>
      </c>
      <c r="Q20" t="str">
        <f>VLOOKUP(P20,[3]users!$A$1:$E$11,4,)</f>
        <v>India</v>
      </c>
      <c r="R20" t="s">
        <v>39</v>
      </c>
      <c r="S20" s="5">
        <f t="shared" si="4"/>
        <v>0</v>
      </c>
      <c r="T20">
        <f t="shared" si="5"/>
        <v>0</v>
      </c>
    </row>
    <row r="21" spans="1:20" x14ac:dyDescent="0.35">
      <c r="A21" t="s">
        <v>76</v>
      </c>
      <c r="B21" s="3">
        <v>46086</v>
      </c>
      <c r="C21" t="s">
        <v>35</v>
      </c>
      <c r="D21" t="str">
        <f t="shared" si="0"/>
        <v>Alpha Mart</v>
      </c>
      <c r="E21">
        <v>520000</v>
      </c>
      <c r="F21" t="s">
        <v>12</v>
      </c>
      <c r="G21">
        <f>VLOOKUP(B21 &amp; F21, [1]exchange_rates!$A$1:$D$19, 4, FALSE)</f>
        <v>1.18E-2</v>
      </c>
      <c r="H21">
        <f t="shared" si="1"/>
        <v>6136</v>
      </c>
      <c r="I21" t="s">
        <v>20</v>
      </c>
      <c r="J21" t="str">
        <f t="shared" si="2"/>
        <v>captured</v>
      </c>
      <c r="K21">
        <v>75</v>
      </c>
      <c r="L21">
        <v>75</v>
      </c>
      <c r="M21" t="s">
        <v>15</v>
      </c>
      <c r="N21" t="str">
        <f t="shared" si="3"/>
        <v>APAC</v>
      </c>
      <c r="O21" t="str">
        <f>VLOOKUP(D21,[2]merchant_master!$B$1:$E$6,4,FALSE)</f>
        <v>APAC</v>
      </c>
      <c r="P21" t="s">
        <v>38</v>
      </c>
      <c r="Q21" t="str">
        <f>VLOOKUP(P21,[3]users!$A$1:$E$11,4,)</f>
        <v>India</v>
      </c>
      <c r="R21" t="s">
        <v>17</v>
      </c>
      <c r="S21" s="5">
        <f t="shared" si="4"/>
        <v>1</v>
      </c>
      <c r="T21">
        <f t="shared" si="5"/>
        <v>1</v>
      </c>
    </row>
    <row r="22" spans="1:20" x14ac:dyDescent="0.35">
      <c r="A22" t="s">
        <v>77</v>
      </c>
      <c r="B22" s="3">
        <v>46087</v>
      </c>
      <c r="C22" t="s">
        <v>78</v>
      </c>
      <c r="D22" t="str">
        <f t="shared" si="0"/>
        <v>Beta Stores</v>
      </c>
      <c r="E22">
        <v>330000</v>
      </c>
      <c r="F22" t="s">
        <v>12</v>
      </c>
      <c r="G22">
        <f>VLOOKUP(B22 &amp; F22, [1]exchange_rates!$A$1:$D$19, 4, FALSE)</f>
        <v>1.1900000000000001E-2</v>
      </c>
      <c r="H22">
        <f t="shared" si="1"/>
        <v>3927.0000000000005</v>
      </c>
      <c r="I22" t="s">
        <v>55</v>
      </c>
      <c r="J22" t="str">
        <f t="shared" si="2"/>
        <v>captured</v>
      </c>
      <c r="K22" t="s">
        <v>79</v>
      </c>
      <c r="L22">
        <v>63</v>
      </c>
      <c r="N22" t="str">
        <f t="shared" si="3"/>
        <v/>
      </c>
      <c r="O22" t="str">
        <f>VLOOKUP(D22,[2]merchant_master!$B$1:$E$6,4,FALSE)</f>
        <v>APAC</v>
      </c>
      <c r="P22" t="s">
        <v>44</v>
      </c>
      <c r="Q22" t="str">
        <f>VLOOKUP(P22,[3]users!$A$1:$E$11,4,)</f>
        <v>India</v>
      </c>
      <c r="R22" t="s">
        <v>22</v>
      </c>
      <c r="S22" s="5">
        <f t="shared" si="4"/>
        <v>0</v>
      </c>
      <c r="T22">
        <f t="shared" si="5"/>
        <v>0</v>
      </c>
    </row>
    <row r="23" spans="1:20" x14ac:dyDescent="0.35">
      <c r="A23" t="s">
        <v>80</v>
      </c>
      <c r="B23" s="3">
        <v>46087</v>
      </c>
      <c r="C23" t="s">
        <v>19</v>
      </c>
      <c r="D23" t="str">
        <f t="shared" si="0"/>
        <v>Alpha Mart</v>
      </c>
      <c r="E23">
        <v>410000</v>
      </c>
      <c r="F23" t="s">
        <v>12</v>
      </c>
      <c r="G23">
        <f>VLOOKUP(B23 &amp; F23, [1]exchange_rates!$A$1:$D$19, 4, FALSE)</f>
        <v>1.1900000000000001E-2</v>
      </c>
      <c r="H23">
        <f t="shared" si="1"/>
        <v>4879</v>
      </c>
      <c r="I23" t="s">
        <v>55</v>
      </c>
      <c r="J23" t="str">
        <f t="shared" si="2"/>
        <v>captured</v>
      </c>
      <c r="K23">
        <v>60</v>
      </c>
      <c r="L23">
        <v>60</v>
      </c>
      <c r="M23" t="s">
        <v>15</v>
      </c>
      <c r="N23" t="str">
        <f t="shared" si="3"/>
        <v>APAC</v>
      </c>
      <c r="O23" t="str">
        <f>VLOOKUP(D23,[2]merchant_master!$B$1:$E$6,4,FALSE)</f>
        <v>APAC</v>
      </c>
      <c r="P23" t="s">
        <v>46</v>
      </c>
      <c r="Q23" t="str">
        <f>VLOOKUP(P23,[3]users!$A$1:$E$11,4,)</f>
        <v>Singapore</v>
      </c>
      <c r="R23" t="s">
        <v>17</v>
      </c>
      <c r="S23" s="5">
        <f t="shared" si="4"/>
        <v>0</v>
      </c>
      <c r="T23">
        <f t="shared" si="5"/>
        <v>0</v>
      </c>
    </row>
    <row r="24" spans="1:20" x14ac:dyDescent="0.35">
      <c r="A24" t="s">
        <v>81</v>
      </c>
      <c r="B24" s="3">
        <v>46082</v>
      </c>
      <c r="C24" t="s">
        <v>82</v>
      </c>
      <c r="D24" t="str">
        <f t="shared" si="0"/>
        <v>City Pharma</v>
      </c>
      <c r="E24">
        <v>5200</v>
      </c>
      <c r="F24" t="s">
        <v>83</v>
      </c>
      <c r="G24">
        <f>VLOOKUP(B24 &amp; F24, [1]exchange_rates!$A$1:$D$19, 4, FALSE)</f>
        <v>1.08</v>
      </c>
      <c r="H24">
        <f t="shared" si="1"/>
        <v>5616</v>
      </c>
      <c r="I24" t="s">
        <v>20</v>
      </c>
      <c r="J24" t="str">
        <f t="shared" si="2"/>
        <v>captured</v>
      </c>
      <c r="K24">
        <v>42</v>
      </c>
      <c r="L24">
        <v>42</v>
      </c>
      <c r="M24" t="s">
        <v>84</v>
      </c>
      <c r="N24" t="str">
        <f t="shared" si="3"/>
        <v>EU</v>
      </c>
      <c r="O24" t="str">
        <f>VLOOKUP(D24,[2]merchant_master!$B$1:$E$6,4,FALSE)</f>
        <v>EU</v>
      </c>
      <c r="P24" t="s">
        <v>27</v>
      </c>
      <c r="Q24" t="str">
        <f>VLOOKUP(P24,[3]users!$A$1:$E$11,4,)</f>
        <v>India</v>
      </c>
      <c r="R24" t="s">
        <v>22</v>
      </c>
      <c r="S24" s="5">
        <f t="shared" si="4"/>
        <v>0</v>
      </c>
      <c r="T24">
        <f t="shared" si="5"/>
        <v>0</v>
      </c>
    </row>
    <row r="25" spans="1:20" x14ac:dyDescent="0.35">
      <c r="A25" t="s">
        <v>85</v>
      </c>
      <c r="B25" s="3">
        <v>46083</v>
      </c>
      <c r="C25" t="s">
        <v>86</v>
      </c>
      <c r="D25" t="str">
        <f t="shared" si="0"/>
        <v>Eco Home</v>
      </c>
      <c r="E25">
        <v>6100</v>
      </c>
      <c r="F25" t="s">
        <v>83</v>
      </c>
      <c r="G25">
        <f>VLOOKUP(B25 &amp; F25, [1]exchange_rates!$A$1:$D$19, 4, FALSE)</f>
        <v>1.0900000000000001</v>
      </c>
      <c r="H25">
        <f t="shared" si="1"/>
        <v>6649.0000000000009</v>
      </c>
      <c r="I25" t="s">
        <v>72</v>
      </c>
      <c r="J25" t="str">
        <f t="shared" si="2"/>
        <v>chargeback</v>
      </c>
      <c r="K25" t="s">
        <v>87</v>
      </c>
      <c r="L25">
        <v>65</v>
      </c>
      <c r="M25" t="s">
        <v>88</v>
      </c>
      <c r="N25" t="str">
        <f t="shared" si="3"/>
        <v>EU</v>
      </c>
      <c r="O25" t="str">
        <f>VLOOKUP(D25,[2]merchant_master!$B$1:$E$6,4,FALSE)</f>
        <v>EU</v>
      </c>
      <c r="P25" t="s">
        <v>33</v>
      </c>
      <c r="Q25" t="str">
        <f>VLOOKUP(P25,[3]users!$A$1:$E$11,4,)</f>
        <v>Italy</v>
      </c>
      <c r="R25" t="s">
        <v>22</v>
      </c>
      <c r="S25" s="5">
        <f t="shared" si="4"/>
        <v>1</v>
      </c>
      <c r="T25">
        <f t="shared" si="5"/>
        <v>1</v>
      </c>
    </row>
    <row r="26" spans="1:20" x14ac:dyDescent="0.35">
      <c r="A26" t="s">
        <v>89</v>
      </c>
      <c r="B26" s="3">
        <v>46084</v>
      </c>
      <c r="C26" t="s">
        <v>82</v>
      </c>
      <c r="D26" t="str">
        <f t="shared" si="0"/>
        <v>City Pharma</v>
      </c>
      <c r="E26">
        <v>2800</v>
      </c>
      <c r="F26" t="s">
        <v>83</v>
      </c>
      <c r="G26">
        <f>VLOOKUP(B26 &amp; F26, [1]exchange_rates!$A$1:$D$19, 4, FALSE)</f>
        <v>1.08</v>
      </c>
      <c r="H26">
        <f t="shared" si="1"/>
        <v>3024</v>
      </c>
      <c r="I26" t="s">
        <v>55</v>
      </c>
      <c r="J26" t="str">
        <f t="shared" si="2"/>
        <v>captured</v>
      </c>
      <c r="K26">
        <v>38</v>
      </c>
      <c r="L26">
        <v>38</v>
      </c>
      <c r="M26" t="s">
        <v>90</v>
      </c>
      <c r="N26" t="str">
        <f t="shared" si="3"/>
        <v>EU</v>
      </c>
      <c r="O26" t="str">
        <f>VLOOKUP(D26,[2]merchant_master!$B$1:$E$6,4,FALSE)</f>
        <v>EU</v>
      </c>
      <c r="P26" t="s">
        <v>38</v>
      </c>
      <c r="Q26" t="str">
        <f>VLOOKUP(P26,[3]users!$A$1:$E$11,4,)</f>
        <v>India</v>
      </c>
      <c r="R26" t="s">
        <v>39</v>
      </c>
      <c r="S26" s="5">
        <f t="shared" si="4"/>
        <v>0</v>
      </c>
      <c r="T26">
        <f t="shared" si="5"/>
        <v>0</v>
      </c>
    </row>
    <row r="27" spans="1:20" x14ac:dyDescent="0.35">
      <c r="A27" t="s">
        <v>91</v>
      </c>
      <c r="B27" s="3">
        <v>46086</v>
      </c>
      <c r="C27" t="s">
        <v>86</v>
      </c>
      <c r="D27" t="str">
        <f t="shared" si="0"/>
        <v>Eco Home</v>
      </c>
      <c r="E27">
        <v>3300</v>
      </c>
      <c r="F27" t="s">
        <v>83</v>
      </c>
      <c r="G27">
        <f>VLOOKUP(B27 &amp; F27, [1]exchange_rates!$A$1:$D$19, 4, FALSE)</f>
        <v>1.0900000000000001</v>
      </c>
      <c r="H27">
        <f t="shared" si="1"/>
        <v>3597.0000000000005</v>
      </c>
      <c r="I27" t="s">
        <v>69</v>
      </c>
      <c r="J27" t="str">
        <f t="shared" si="2"/>
        <v>failed e05 timeout</v>
      </c>
      <c r="K27">
        <v>44</v>
      </c>
      <c r="L27">
        <v>44</v>
      </c>
      <c r="M27" t="s">
        <v>84</v>
      </c>
      <c r="N27" t="str">
        <f t="shared" si="3"/>
        <v>EU</v>
      </c>
      <c r="O27" t="str">
        <f>VLOOKUP(D27,[2]merchant_master!$B$1:$E$6,4,FALSE)</f>
        <v>EU</v>
      </c>
      <c r="P27" t="s">
        <v>44</v>
      </c>
      <c r="Q27" t="str">
        <f>VLOOKUP(P27,[3]users!$A$1:$E$11,4,)</f>
        <v>India</v>
      </c>
      <c r="R27" t="s">
        <v>28</v>
      </c>
      <c r="S27" s="5">
        <f t="shared" si="4"/>
        <v>0</v>
      </c>
      <c r="T27">
        <f t="shared" si="5"/>
        <v>0</v>
      </c>
    </row>
    <row r="28" spans="1:20" x14ac:dyDescent="0.35">
      <c r="A28" t="s">
        <v>92</v>
      </c>
      <c r="B28" s="3">
        <v>46082</v>
      </c>
      <c r="C28" t="s">
        <v>93</v>
      </c>
      <c r="D28" t="str">
        <f t="shared" si="0"/>
        <v>Delta Travels</v>
      </c>
      <c r="E28">
        <v>7200</v>
      </c>
      <c r="F28" t="s">
        <v>94</v>
      </c>
      <c r="G28">
        <f>VLOOKUP(B28 &amp; F28, [1]exchange_rates!$A$1:$D$19, 4, FALSE)</f>
        <v>1</v>
      </c>
      <c r="H28">
        <f t="shared" si="1"/>
        <v>7200</v>
      </c>
      <c r="I28" t="s">
        <v>55</v>
      </c>
      <c r="J28" t="str">
        <f t="shared" si="2"/>
        <v>captured</v>
      </c>
      <c r="K28">
        <v>49</v>
      </c>
      <c r="L28">
        <v>49</v>
      </c>
      <c r="M28" t="s">
        <v>95</v>
      </c>
      <c r="N28" t="str">
        <f t="shared" si="3"/>
        <v>US</v>
      </c>
      <c r="O28" t="str">
        <f>VLOOKUP(D28,[2]merchant_master!$B$1:$E$6,4,FALSE)</f>
        <v>US</v>
      </c>
      <c r="P28" t="s">
        <v>46</v>
      </c>
      <c r="Q28" t="str">
        <f>VLOOKUP(P28,[3]users!$A$1:$E$11,4,)</f>
        <v>Singapore</v>
      </c>
      <c r="R28" t="s">
        <v>22</v>
      </c>
      <c r="S28" s="5">
        <f t="shared" si="4"/>
        <v>1</v>
      </c>
      <c r="T28">
        <f t="shared" si="5"/>
        <v>0</v>
      </c>
    </row>
    <row r="29" spans="1:20" x14ac:dyDescent="0.35">
      <c r="A29" t="s">
        <v>96</v>
      </c>
      <c r="B29" s="3">
        <v>46083</v>
      </c>
      <c r="C29" t="s">
        <v>97</v>
      </c>
      <c r="D29" t="str">
        <f t="shared" si="0"/>
        <v>Delta Travels</v>
      </c>
      <c r="E29">
        <v>3100</v>
      </c>
      <c r="F29" t="s">
        <v>94</v>
      </c>
      <c r="G29">
        <f>VLOOKUP(B29 &amp; F29, [1]exchange_rates!$A$1:$D$19, 4, FALSE)</f>
        <v>1</v>
      </c>
      <c r="H29">
        <f t="shared" si="1"/>
        <v>3100</v>
      </c>
      <c r="I29" t="s">
        <v>25</v>
      </c>
      <c r="J29" t="str">
        <f t="shared" si="2"/>
        <v>captured</v>
      </c>
      <c r="K29" t="s">
        <v>98</v>
      </c>
      <c r="L29">
        <v>41</v>
      </c>
      <c r="M29" t="s">
        <v>99</v>
      </c>
      <c r="N29" t="str">
        <f t="shared" si="3"/>
        <v>US</v>
      </c>
      <c r="O29" t="str">
        <f>VLOOKUP(D29,[2]merchant_master!$B$1:$E$6,4,FALSE)</f>
        <v>US</v>
      </c>
      <c r="P29" t="s">
        <v>53</v>
      </c>
      <c r="Q29" t="str">
        <f>VLOOKUP(P29,[3]users!$A$1:$E$11,4,)</f>
        <v>India</v>
      </c>
      <c r="R29" t="s">
        <v>22</v>
      </c>
      <c r="S29" s="5">
        <f t="shared" si="4"/>
        <v>0</v>
      </c>
      <c r="T29">
        <f t="shared" si="5"/>
        <v>0</v>
      </c>
    </row>
    <row r="30" spans="1:20" x14ac:dyDescent="0.35">
      <c r="A30" t="s">
        <v>100</v>
      </c>
      <c r="B30" s="3">
        <v>46085</v>
      </c>
      <c r="C30" t="s">
        <v>101</v>
      </c>
      <c r="D30" t="str">
        <f t="shared" si="0"/>
        <v>Delta Travels</v>
      </c>
      <c r="E30">
        <v>2500</v>
      </c>
      <c r="F30" t="s">
        <v>94</v>
      </c>
      <c r="G30">
        <f>VLOOKUP(B30 &amp; F30, [1]exchange_rates!$A$1:$D$19, 4, FALSE)</f>
        <v>1</v>
      </c>
      <c r="H30">
        <f t="shared" si="1"/>
        <v>2500</v>
      </c>
      <c r="I30" t="s">
        <v>72</v>
      </c>
      <c r="J30" t="str">
        <f t="shared" si="2"/>
        <v>chargeback</v>
      </c>
      <c r="K30" t="s">
        <v>102</v>
      </c>
      <c r="L30">
        <v>58</v>
      </c>
      <c r="M30" t="s">
        <v>99</v>
      </c>
      <c r="N30" t="str">
        <f t="shared" si="3"/>
        <v>US</v>
      </c>
      <c r="O30" t="str">
        <f>VLOOKUP(D30,[2]merchant_master!$B$1:$E$6,4,FALSE)</f>
        <v>US</v>
      </c>
      <c r="P30" t="s">
        <v>57</v>
      </c>
      <c r="Q30" t="str">
        <f>VLOOKUP(P30,[3]users!$A$1:$E$11,4,)</f>
        <v>USA</v>
      </c>
      <c r="R30" t="s">
        <v>39</v>
      </c>
      <c r="S30" s="5">
        <f t="shared" si="4"/>
        <v>0</v>
      </c>
      <c r="T30">
        <f t="shared" si="5"/>
        <v>1</v>
      </c>
    </row>
    <row r="31" spans="1:20" x14ac:dyDescent="0.35">
      <c r="A31" t="s">
        <v>103</v>
      </c>
      <c r="B31" s="3">
        <v>46087</v>
      </c>
      <c r="C31" t="s">
        <v>93</v>
      </c>
      <c r="D31" t="str">
        <f t="shared" si="0"/>
        <v>Delta Travels</v>
      </c>
      <c r="E31">
        <v>1800</v>
      </c>
      <c r="F31" t="s">
        <v>94</v>
      </c>
      <c r="G31">
        <f>VLOOKUP(B31 &amp; F31, [1]exchange_rates!$A$1:$D$19, 4, FALSE)</f>
        <v>1</v>
      </c>
      <c r="H31">
        <f t="shared" si="1"/>
        <v>1800</v>
      </c>
      <c r="I31" t="s">
        <v>69</v>
      </c>
      <c r="J31" t="str">
        <f t="shared" si="2"/>
        <v>failed e05 timeout</v>
      </c>
      <c r="K31" t="s">
        <v>104</v>
      </c>
      <c r="L31">
        <v>47</v>
      </c>
      <c r="M31" t="s">
        <v>99</v>
      </c>
      <c r="N31" t="str">
        <f t="shared" si="3"/>
        <v>US</v>
      </c>
      <c r="O31" t="str">
        <f>VLOOKUP(D31,[2]merchant_master!$B$1:$E$6,4,FALSE)</f>
        <v>US</v>
      </c>
      <c r="P31" t="s">
        <v>60</v>
      </c>
      <c r="Q31" t="str">
        <f>VLOOKUP(P31,[3]users!$A$1:$E$11,4,)</f>
        <v>USA</v>
      </c>
      <c r="R31" t="s">
        <v>17</v>
      </c>
      <c r="S31" s="5">
        <f t="shared" si="4"/>
        <v>0</v>
      </c>
      <c r="T31">
        <f t="shared" si="5"/>
        <v>0</v>
      </c>
    </row>
    <row r="32" spans="1:20" x14ac:dyDescent="0.35">
      <c r="L32" s="2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 Agrawal</dc:creator>
  <cp:lastModifiedBy>Mita Agrawal</cp:lastModifiedBy>
  <dcterms:created xsi:type="dcterms:W3CDTF">2015-06-05T18:17:20Z</dcterms:created>
  <dcterms:modified xsi:type="dcterms:W3CDTF">2026-05-15T03:19:50Z</dcterms:modified>
</cp:coreProperties>
</file>